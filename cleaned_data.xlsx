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hidePivotFieldList="1"/>
  <mc:AlternateContent xmlns:mc="http://schemas.openxmlformats.org/markup-compatibility/2006">
    <mc:Choice Requires="x15">
      <x15ac:absPath xmlns:x15ac="http://schemas.microsoft.com/office/spreadsheetml/2010/11/ac" url="C:\Users\dharm\OneDrive\Desktop\personal-finance-tracker\"/>
    </mc:Choice>
  </mc:AlternateContent>
  <xr:revisionPtr revIDLastSave="0" documentId="13_ncr:1_{E8F35805-1A61-4114-A181-C7AAC5344B41}" xr6:coauthVersionLast="47" xr6:coauthVersionMax="47" xr10:uidLastSave="{00000000-0000-0000-0000-000000000000}"/>
  <bookViews>
    <workbookView xWindow="-108" yWindow="-108" windowWidth="23256" windowHeight="12456" xr2:uid="{00000000-000D-0000-FFFF-FFFF00000000}"/>
  </bookViews>
  <sheets>
    <sheet name="Data" sheetId="1" r:id="rId1"/>
    <sheet name="PivotTable1" sheetId="2" r:id="rId2"/>
    <sheet name="PivotTable2" sheetId="3" r:id="rId3"/>
    <sheet name="PivotTable3" sheetId="4" r:id="rId4"/>
    <sheet name="Dashboard" sheetId="6" r:id="rId5"/>
  </sheets>
  <definedNames>
    <definedName name="Slicer_Category">#N/A</definedName>
    <definedName name="Slicer_Months__Date">#N/A</definedName>
  </definedNames>
  <calcPr calcId="191029"/>
  <pivotCaches>
    <pivotCache cacheId="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8" i="6" l="1"/>
  <c r="W9" i="6"/>
  <c r="W10" i="6"/>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alcChain>
</file>

<file path=xl/sharedStrings.xml><?xml version="1.0" encoding="utf-8"?>
<sst xmlns="http://schemas.openxmlformats.org/spreadsheetml/2006/main" count="216" uniqueCount="57">
  <si>
    <t>Date</t>
  </si>
  <si>
    <t>Category</t>
  </si>
  <si>
    <t>Sub-Category</t>
  </si>
  <si>
    <t>Amount</t>
  </si>
  <si>
    <t>Type</t>
  </si>
  <si>
    <t>Payment Mode</t>
  </si>
  <si>
    <t>Income</t>
  </si>
  <si>
    <t>Internship</t>
  </si>
  <si>
    <t>Bank</t>
  </si>
  <si>
    <t>Food</t>
  </si>
  <si>
    <t>Swiggy</t>
  </si>
  <si>
    <t>Expense</t>
  </si>
  <si>
    <t>UPI</t>
  </si>
  <si>
    <t>Transport</t>
  </si>
  <si>
    <t>Uber</t>
  </si>
  <si>
    <t>Cash</t>
  </si>
  <si>
    <t>Bills</t>
  </si>
  <si>
    <t>Electricity</t>
  </si>
  <si>
    <t>Entertainment</t>
  </si>
  <si>
    <t>Netflix</t>
  </si>
  <si>
    <t>Shopping</t>
  </si>
  <si>
    <t>Clothes</t>
  </si>
  <si>
    <t>Card</t>
  </si>
  <si>
    <t>Zomato</t>
  </si>
  <si>
    <t>Bus</t>
  </si>
  <si>
    <t>Groceries</t>
  </si>
  <si>
    <t>Freelance</t>
  </si>
  <si>
    <t>Internet</t>
  </si>
  <si>
    <t>Movie</t>
  </si>
  <si>
    <t>Amazon</t>
  </si>
  <si>
    <t>Auto</t>
  </si>
  <si>
    <t>Mobile Recharge</t>
  </si>
  <si>
    <t>Spotify</t>
  </si>
  <si>
    <t>Shoes</t>
  </si>
  <si>
    <t>Part-time</t>
  </si>
  <si>
    <t>Water</t>
  </si>
  <si>
    <t>Game</t>
  </si>
  <si>
    <t>Accessories</t>
  </si>
  <si>
    <t>Metro</t>
  </si>
  <si>
    <t>Gas</t>
  </si>
  <si>
    <t>Flow</t>
  </si>
  <si>
    <t>Row Labels</t>
  </si>
  <si>
    <t>Grand Total</t>
  </si>
  <si>
    <t>Sum of Amount</t>
  </si>
  <si>
    <t>Jan</t>
  </si>
  <si>
    <t>Feb</t>
  </si>
  <si>
    <t>Column Labels</t>
  </si>
  <si>
    <t>Key Insights</t>
  </si>
  <si>
    <t xml:space="preserve">Food category contributes the highest share of expenses  </t>
  </si>
  <si>
    <t>Total income is higher than expenses, indicating savings</t>
  </si>
  <si>
    <t>Spending is consistent across months</t>
  </si>
  <si>
    <t>Shopping and entertainment are major expense areas</t>
  </si>
  <si>
    <t>Total Expense</t>
  </si>
  <si>
    <t>Savings</t>
  </si>
  <si>
    <t>Total Income</t>
  </si>
  <si>
    <t>Personal Finance Dashboard</t>
  </si>
  <si>
    <t xml:space="preserve">Personal Finance Analysis &amp; Insights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</si>
</sst>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color theme="0"/>
      <name val="Calibri"/>
      <family val="2"/>
      <scheme val="minor"/>
    </font>
    <font>
      <sz val="14"/>
      <color theme="1"/>
      <name val="Calibri"/>
      <family val="2"/>
      <scheme val="minor"/>
    </font>
    <font>
      <b/>
      <sz val="36"/>
      <color theme="0"/>
      <name val="Calibri"/>
      <family val="2"/>
      <scheme val="minor"/>
    </font>
    <font>
      <sz val="18"/>
      <color theme="1"/>
      <name val="Calibri"/>
      <family val="2"/>
      <scheme val="minor"/>
    </font>
  </fonts>
  <fills count="7">
    <fill>
      <patternFill patternType="none"/>
    </fill>
    <fill>
      <patternFill patternType="gray125"/>
    </fill>
    <fill>
      <patternFill patternType="solid">
        <fgColor theme="4" tint="0.79998168889431442"/>
        <bgColor indexed="65"/>
      </patternFill>
    </fill>
    <fill>
      <patternFill patternType="solid">
        <fgColor theme="8"/>
      </patternFill>
    </fill>
    <fill>
      <patternFill patternType="solid">
        <fgColor theme="8" tint="-0.249977111117893"/>
        <bgColor indexed="64"/>
      </patternFill>
    </fill>
    <fill>
      <patternFill patternType="solid">
        <fgColor theme="2"/>
        <bgColor indexed="64"/>
      </patternFill>
    </fill>
    <fill>
      <patternFill patternType="solid">
        <fgColor theme="6"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25">
    <xf numFmtId="0" fontId="0" fillId="0" borderId="0" xfId="0"/>
    <xf numFmtId="0" fontId="0" fillId="0" borderId="0" xfId="0" applyAlignment="1">
      <alignment horizontal="left"/>
    </xf>
    <xf numFmtId="16" fontId="0" fillId="0" borderId="0" xfId="0" applyNumberFormat="1" applyAlignment="1">
      <alignment horizontal="right"/>
    </xf>
    <xf numFmtId="16" fontId="0" fillId="0" borderId="0" xfId="0" applyNumberFormat="1"/>
    <xf numFmtId="0" fontId="0" fillId="0" borderId="0" xfId="0" pivotButton="1"/>
    <xf numFmtId="0" fontId="0" fillId="0" borderId="0" xfId="0" applyNumberFormat="1"/>
    <xf numFmtId="0" fontId="0" fillId="0" borderId="0" xfId="0" applyBorder="1"/>
    <xf numFmtId="0" fontId="1" fillId="2" borderId="4" xfId="1" applyBorder="1" applyAlignment="1">
      <alignment horizontal="left"/>
    </xf>
    <xf numFmtId="0" fontId="1" fillId="2" borderId="12" xfId="1" applyBorder="1" applyAlignment="1">
      <alignment horizontal="left"/>
    </xf>
    <xf numFmtId="0" fontId="1" fillId="2" borderId="3" xfId="1" applyBorder="1" applyAlignment="1">
      <alignment horizontal="left"/>
    </xf>
    <xf numFmtId="0" fontId="2" fillId="3" borderId="4" xfId="2" applyBorder="1" applyAlignment="1">
      <alignment horizontal="left"/>
    </xf>
    <xf numFmtId="0" fontId="2" fillId="3" borderId="12" xfId="2" applyBorder="1" applyAlignment="1">
      <alignment horizontal="left"/>
    </xf>
    <xf numFmtId="0" fontId="2" fillId="3" borderId="3" xfId="2" applyBorder="1" applyAlignment="1">
      <alignment horizontal="left"/>
    </xf>
    <xf numFmtId="0" fontId="4" fillId="4" borderId="8" xfId="0" applyFont="1" applyFill="1" applyBorder="1" applyAlignment="1">
      <alignment horizontal="center"/>
    </xf>
    <xf numFmtId="0" fontId="4" fillId="4" borderId="2" xfId="0" applyFont="1" applyFill="1" applyBorder="1" applyAlignment="1">
      <alignment horizontal="center"/>
    </xf>
    <xf numFmtId="0" fontId="4" fillId="4" borderId="7" xfId="0" applyFont="1" applyFill="1" applyBorder="1" applyAlignment="1">
      <alignment horizontal="center"/>
    </xf>
    <xf numFmtId="0" fontId="4" fillId="4" borderId="9" xfId="0" applyFont="1" applyFill="1" applyBorder="1" applyAlignment="1">
      <alignment horizontal="center"/>
    </xf>
    <xf numFmtId="0" fontId="4" fillId="4" borderId="0" xfId="0" applyFont="1" applyFill="1" applyBorder="1" applyAlignment="1">
      <alignment horizontal="center"/>
    </xf>
    <xf numFmtId="0" fontId="4" fillId="4" borderId="10" xfId="0" applyFont="1" applyFill="1" applyBorder="1" applyAlignment="1">
      <alignment horizontal="center"/>
    </xf>
    <xf numFmtId="0" fontId="4" fillId="4" borderId="6" xfId="0" applyFont="1" applyFill="1" applyBorder="1" applyAlignment="1">
      <alignment horizontal="center"/>
    </xf>
    <xf numFmtId="0" fontId="4" fillId="4" borderId="11" xfId="0" applyFont="1" applyFill="1" applyBorder="1" applyAlignment="1">
      <alignment horizontal="center"/>
    </xf>
    <xf numFmtId="0" fontId="4" fillId="4" borderId="5" xfId="0" applyFont="1" applyFill="1" applyBorder="1" applyAlignment="1">
      <alignment horizontal="center"/>
    </xf>
    <xf numFmtId="0" fontId="3" fillId="5" borderId="1" xfId="0" applyFont="1" applyFill="1" applyBorder="1" applyAlignment="1">
      <alignment vertical="center" wrapText="1"/>
    </xf>
    <xf numFmtId="0" fontId="3" fillId="5" borderId="1" xfId="0" applyFont="1" applyFill="1" applyBorder="1"/>
    <xf numFmtId="0" fontId="5" fillId="6" borderId="1" xfId="0" applyFont="1" applyFill="1" applyBorder="1" applyAlignment="1">
      <alignment horizontal="center" vertical="center"/>
    </xf>
  </cellXfs>
  <cellStyles count="3">
    <cellStyle name="20% - Accent1" xfId="1" builtinId="30"/>
    <cellStyle name="Accent5" xfId="2" builtinId="45"/>
    <cellStyle name="Normal" xfId="0" builtinId="0"/>
  </cellStyles>
  <dxfs count="2">
    <dxf>
      <numFmt numFmtId="0" formatCode="General"/>
    </dxf>
    <dxf>
      <numFmt numFmtId="21" formatCode="dd/m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[cleaned_data.xlsx]PivotTable1!PivotTable1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6"/>
          </a:solidFill>
          <a:ln w="19050">
            <a:solidFill>
              <a:schemeClr val="lt1"/>
            </a:solidFill>
          </a:ln>
          <a:effectLst/>
        </c:spPr>
      </c:pivotFmt>
    </c:pivotFmts>
    <c:plotArea>
      <c:layout/>
      <c:pieChart>
        <c:varyColors val="1"/>
        <c:ser>
          <c:idx val="0"/>
          <c:order val="0"/>
          <c:tx>
            <c:strRef>
              <c:f>PivotTable1!$B$3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5D-45D3-A364-94D62DE91B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5D-45D3-A364-94D62DE91B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5D-45D3-A364-94D62DE91B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5D-45D3-A364-94D62DE91B6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5D-45D3-A364-94D62DE91B6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05D-45D3-A364-94D62DE91B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PivotTable1!$A$4:$A$10</c:f>
              <c:strCache>
                <c:ptCount val="6"/>
                <c:pt idx="0">
                  <c:v>Bills</c:v>
                </c:pt>
                <c:pt idx="1">
                  <c:v>Entertainment</c:v>
                </c:pt>
                <c:pt idx="2">
                  <c:v>Food</c:v>
                </c:pt>
                <c:pt idx="3">
                  <c:v>Income</c:v>
                </c:pt>
                <c:pt idx="4">
                  <c:v>Shopping</c:v>
                </c:pt>
                <c:pt idx="5">
                  <c:v>Transport</c:v>
                </c:pt>
              </c:strCache>
            </c:strRef>
          </c:cat>
          <c:val>
            <c:numRef>
              <c:f>PivotTable1!$B$4:$B$10</c:f>
              <c:numCache>
                <c:formatCode>General</c:formatCode>
                <c:ptCount val="6"/>
                <c:pt idx="0">
                  <c:v>5299</c:v>
                </c:pt>
                <c:pt idx="1">
                  <c:v>2687</c:v>
                </c:pt>
                <c:pt idx="2">
                  <c:v>7000</c:v>
                </c:pt>
                <c:pt idx="3">
                  <c:v>43500</c:v>
                </c:pt>
                <c:pt idx="4">
                  <c:v>8600</c:v>
                </c:pt>
                <c:pt idx="5">
                  <c:v>930</c:v>
                </c:pt>
              </c:numCache>
            </c:numRef>
          </c:val>
          <c:extLst>
            <c:ext xmlns:c16="http://schemas.microsoft.com/office/drawing/2014/chart" uri="{C3380CC4-5D6E-409C-BE32-E72D297353CC}">
              <c16:uniqueId val="{0000000C-505D-45D3-A364-94D62DE91B6C}"/>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[cleaned_data.xlsx]PivotTable3!PivotTable3</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13786818314377369"/>
          <c:w val="0.67671062992125985"/>
          <c:h val="0.65853091280256637"/>
        </c:manualLayout>
      </c:layout>
      <c:barChart>
        <c:barDir val="col"/>
        <c:grouping val="stacked"/>
        <c:varyColors val="0"/>
        <c:ser>
          <c:idx val="0"/>
          <c:order val="0"/>
          <c:tx>
            <c:strRef>
              <c:f>PivotTable3!$B$3:$B$4</c:f>
              <c:strCache>
                <c:ptCount val="1"/>
                <c:pt idx="0">
                  <c:v>Expense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PivotTable3!$A$5:$A$7</c:f>
              <c:strCache>
                <c:ptCount val="2"/>
                <c:pt idx="0">
                  <c:v>Jan</c:v>
                </c:pt>
                <c:pt idx="1">
                  <c:v>Feb</c:v>
                </c:pt>
              </c:strCache>
            </c:strRef>
          </c:cat>
          <c:val>
            <c:numRef>
              <c:f>PivotTable3!$B$5:$B$7</c:f>
              <c:numCache>
                <c:formatCode>General</c:formatCode>
                <c:ptCount val="2"/>
                <c:pt idx="0">
                  <c:v>17867</c:v>
                </c:pt>
                <c:pt idx="1">
                  <c:v>6649</c:v>
                </c:pt>
              </c:numCache>
            </c:numRef>
          </c:val>
          <c:extLst>
            <c:ext xmlns:c16="http://schemas.microsoft.com/office/drawing/2014/chart" uri="{C3380CC4-5D6E-409C-BE32-E72D297353CC}">
              <c16:uniqueId val="{00000000-B3FE-496C-A3D8-065EF9785E43}"/>
            </c:ext>
          </c:extLst>
        </c:ser>
        <c:ser>
          <c:idx val="1"/>
          <c:order val="1"/>
          <c:tx>
            <c:strRef>
              <c:f>PivotTable3!$C$3:$C$4</c:f>
              <c:strCache>
                <c:ptCount val="1"/>
                <c:pt idx="0">
                  <c:v>Income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PivotTable3!$A$5:$A$7</c:f>
              <c:strCache>
                <c:ptCount val="2"/>
                <c:pt idx="0">
                  <c:v>Jan</c:v>
                </c:pt>
                <c:pt idx="1">
                  <c:v>Feb</c:v>
                </c:pt>
              </c:strCache>
            </c:strRef>
          </c:cat>
          <c:val>
            <c:numRef>
              <c:f>PivotTable3!$C$5:$C$7</c:f>
              <c:numCache>
                <c:formatCode>General</c:formatCode>
                <c:ptCount val="2"/>
                <c:pt idx="0">
                  <c:v>24000</c:v>
                </c:pt>
                <c:pt idx="1">
                  <c:v>19500</c:v>
                </c:pt>
              </c:numCache>
            </c:numRef>
          </c:val>
          <c:extLst>
            <c:ext xmlns:c16="http://schemas.microsoft.com/office/drawing/2014/chart" uri="{C3380CC4-5D6E-409C-BE32-E72D297353CC}">
              <c16:uniqueId val="{0000000C-B3FE-496C-A3D8-065EF9785E43}"/>
            </c:ext>
          </c:extLst>
        </c:ser>
        <c:dLbls>
          <c:dLblPos val="ctr"/>
          <c:showLegendKey val="0"/>
          <c:showVal val="1"/>
          <c:showCatName val="0"/>
          <c:showSerName val="0"/>
          <c:showPercent val="0"/>
          <c:showBubbleSize val="0"/>
        </c:dLbls>
        <c:gapWidth val="150"/>
        <c:overlap val="100"/>
        <c:axId val="104842816"/>
        <c:axId val="104861056"/>
      </c:barChart>
      <c:catAx>
        <c:axId val="10484281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1056"/>
        <c:crosses val="autoZero"/>
        <c:auto val="1"/>
        <c:lblAlgn val="ctr"/>
        <c:lblOffset val="100"/>
        <c:noMultiLvlLbl val="0"/>
      </c:catAx>
      <c:valAx>
        <c:axId val="10486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4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3364</xdr:colOff>
      <xdr:row>16</xdr:row>
      <xdr:rowOff>1</xdr:rowOff>
    </xdr:from>
    <xdr:to>
      <xdr:col>10</xdr:col>
      <xdr:colOff>164123</xdr:colOff>
      <xdr:row>34</xdr:row>
      <xdr:rowOff>11723</xdr:rowOff>
    </xdr:to>
    <xdr:graphicFrame macro="">
      <xdr:nvGraphicFramePr>
        <xdr:cNvPr id="2" name="Chart 1">
          <a:extLst>
            <a:ext uri="{FF2B5EF4-FFF2-40B4-BE49-F238E27FC236}">
              <a16:creationId xmlns:a16="http://schemas.microsoft.com/office/drawing/2014/main" id="{95BB68D3-9067-0C77-B3EF-09AC9F543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161380</xdr:colOff>
      <xdr:row>15</xdr:row>
      <xdr:rowOff>168441</xdr:rowOff>
    </xdr:from>
    <xdr:to>
      <xdr:col>18</xdr:col>
      <xdr:colOff>725785</xdr:colOff>
      <xdr:row>34</xdr:row>
      <xdr:rowOff>31315</xdr:rowOff>
    </xdr:to>
    <xdr:graphicFrame macro="">
      <xdr:nvGraphicFramePr>
        <xdr:cNvPr id="3" name="Chart 1">
          <a:extLst>
            <a:ext uri="{FF2B5EF4-FFF2-40B4-BE49-F238E27FC236}">
              <a16:creationId xmlns:a16="http://schemas.microsoft.com/office/drawing/2014/main" id="{B517AC7D-8704-19C4-1B90-2724402A3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10438</xdr:colOff>
      <xdr:row>7</xdr:row>
      <xdr:rowOff>19522</xdr:rowOff>
    </xdr:from>
    <xdr:to>
      <xdr:col>13</xdr:col>
      <xdr:colOff>344466</xdr:colOff>
      <xdr:row>15</xdr:row>
      <xdr:rowOff>177451</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EEA7D531-6A69-475D-99DA-5E82C16B9C3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448838" y="1355953"/>
              <a:ext cx="6945843" cy="17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354904</xdr:colOff>
      <xdr:row>7</xdr:row>
      <xdr:rowOff>12758</xdr:rowOff>
    </xdr:from>
    <xdr:to>
      <xdr:col>19</xdr:col>
      <xdr:colOff>0</xdr:colOff>
      <xdr:row>15</xdr:row>
      <xdr:rowOff>167013</xdr:rowOff>
    </xdr:to>
    <mc:AlternateContent xmlns:mc="http://schemas.openxmlformats.org/markup-compatibility/2006">
      <mc:Choice xmlns:a14="http://schemas.microsoft.com/office/drawing/2010/main" Requires="a14">
        <xdr:graphicFrame macro="">
          <xdr:nvGraphicFramePr>
            <xdr:cNvPr id="5" name="Months (Date) 1">
              <a:extLst>
                <a:ext uri="{FF2B5EF4-FFF2-40B4-BE49-F238E27FC236}">
                  <a16:creationId xmlns:a16="http://schemas.microsoft.com/office/drawing/2014/main" id="{291D3904-301E-4CFF-97B6-ED67DE1194EE}"/>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9405119" y="1349189"/>
              <a:ext cx="3501989" cy="1795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tri dharmatti" refreshedDate="46129.565399305553" createdVersion="8" refreshedVersion="8" minRefreshableVersion="3" recordCount="44" xr:uid="{6FA8EF30-DF20-4B25-92B1-D755AF1FF8C5}">
  <cacheSource type="worksheet">
    <worksheetSource name="Table1"/>
  </cacheSource>
  <cacheFields count="9">
    <cacheField name="Date" numFmtId="16">
      <sharedItems containsSemiMixedTypes="0" containsNonDate="0" containsDate="1" containsString="0" minDate="2026-01-01T00:00:00" maxDate="2026-02-14T00:00:00" count="4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sharedItems>
      <fieldGroup par="8"/>
    </cacheField>
    <cacheField name="Category" numFmtId="0">
      <sharedItems count="6">
        <s v="Income"/>
        <s v="Food"/>
        <s v="Transport"/>
        <s v="Bills"/>
        <s v="Entertainment"/>
        <s v="Shopping"/>
      </sharedItems>
    </cacheField>
    <cacheField name="Sub-Category" numFmtId="0">
      <sharedItems/>
    </cacheField>
    <cacheField name="Amount" numFmtId="0">
      <sharedItems containsSemiMixedTypes="0" containsString="0" containsNumber="1" containsInteger="1" minValue="50" maxValue="15000"/>
    </cacheField>
    <cacheField name="Type" numFmtId="0">
      <sharedItems count="2">
        <s v="Income"/>
        <s v="Expense"/>
      </sharedItems>
    </cacheField>
    <cacheField name="Payment Mode" numFmtId="0">
      <sharedItems/>
    </cacheField>
    <cacheField name="Flow" numFmtId="0">
      <sharedItems/>
    </cacheField>
    <cacheField name="Days (Date)" numFmtId="0" databaseField="0">
      <fieldGroup base="0">
        <rangePr groupBy="days" startDate="2026-01-01T00:00:00" endDate="2026-02-14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4-02-2026"/>
        </groupItems>
      </fieldGroup>
    </cacheField>
    <cacheField name="Months (Date)" numFmtId="0" databaseField="0">
      <fieldGroup base="0">
        <rangePr groupBy="months" startDate="2026-01-01T00:00:00" endDate="2026-02-14T00:00:00"/>
        <groupItems count="14">
          <s v="&lt;01-01-2026"/>
          <s v="Jan"/>
          <s v="Feb"/>
          <s v="Mar"/>
          <s v="Apr"/>
          <s v="May"/>
          <s v="Jun"/>
          <s v="Jul"/>
          <s v="Aug"/>
          <s v="Sep"/>
          <s v="Oct"/>
          <s v="Nov"/>
          <s v="Dec"/>
          <s v="&gt;14-02-2026"/>
        </groupItems>
      </fieldGroup>
    </cacheField>
  </cacheFields>
  <extLst>
    <ext xmlns:x14="http://schemas.microsoft.com/office/spreadsheetml/2009/9/main" uri="{725AE2AE-9491-48be-B2B4-4EB974FC3084}">
      <x14:pivotCacheDefinition pivotCacheId="6269287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x v="0"/>
    <x v="0"/>
    <s v="Internship"/>
    <n v="15000"/>
    <x v="0"/>
    <s v="Bank"/>
    <s v="Money In"/>
  </r>
  <r>
    <x v="1"/>
    <x v="1"/>
    <s v="Swiggy"/>
    <n v="250"/>
    <x v="1"/>
    <s v="UPI"/>
    <s v="Money Out"/>
  </r>
  <r>
    <x v="2"/>
    <x v="2"/>
    <s v="Uber"/>
    <n v="180"/>
    <x v="1"/>
    <s v="Cash"/>
    <s v="Money Out"/>
  </r>
  <r>
    <x v="3"/>
    <x v="3"/>
    <s v="Electricity"/>
    <n v="1200"/>
    <x v="1"/>
    <s v="Bank"/>
    <s v="Money Out"/>
  </r>
  <r>
    <x v="4"/>
    <x v="4"/>
    <s v="Netflix"/>
    <n v="499"/>
    <x v="1"/>
    <s v="UPI"/>
    <s v="Money Out"/>
  </r>
  <r>
    <x v="5"/>
    <x v="5"/>
    <s v="Clothes"/>
    <n v="2000"/>
    <x v="1"/>
    <s v="Card"/>
    <s v="Money Out"/>
  </r>
  <r>
    <x v="6"/>
    <x v="1"/>
    <s v="Zomato"/>
    <n v="300"/>
    <x v="1"/>
    <s v="UPI"/>
    <s v="Money Out"/>
  </r>
  <r>
    <x v="7"/>
    <x v="2"/>
    <s v="Bus"/>
    <n v="50"/>
    <x v="1"/>
    <s v="Cash"/>
    <s v="Money Out"/>
  </r>
  <r>
    <x v="8"/>
    <x v="1"/>
    <s v="Groceries"/>
    <n v="1200"/>
    <x v="1"/>
    <s v="Card"/>
    <s v="Money Out"/>
  </r>
  <r>
    <x v="9"/>
    <x v="0"/>
    <s v="Freelance"/>
    <n v="5000"/>
    <x v="0"/>
    <s v="Bank"/>
    <s v="Money In"/>
  </r>
  <r>
    <x v="10"/>
    <x v="3"/>
    <s v="Internet"/>
    <n v="800"/>
    <x v="1"/>
    <s v="UPI"/>
    <s v="Money Out"/>
  </r>
  <r>
    <x v="11"/>
    <x v="4"/>
    <s v="Movie"/>
    <n v="300"/>
    <x v="1"/>
    <s v="Cash"/>
    <s v="Money Out"/>
  </r>
  <r>
    <x v="12"/>
    <x v="1"/>
    <s v="Swiggy"/>
    <n v="220"/>
    <x v="1"/>
    <s v="UPI"/>
    <s v="Money Out"/>
  </r>
  <r>
    <x v="13"/>
    <x v="5"/>
    <s v="Amazon"/>
    <n v="1500"/>
    <x v="1"/>
    <s v="Card"/>
    <s v="Money Out"/>
  </r>
  <r>
    <x v="14"/>
    <x v="2"/>
    <s v="Auto"/>
    <n v="100"/>
    <x v="1"/>
    <s v="Cash"/>
    <s v="Money Out"/>
  </r>
  <r>
    <x v="15"/>
    <x v="1"/>
    <s v="Zomato"/>
    <n v="270"/>
    <x v="1"/>
    <s v="UPI"/>
    <s v="Money Out"/>
  </r>
  <r>
    <x v="16"/>
    <x v="3"/>
    <s v="Mobile Recharge"/>
    <n v="399"/>
    <x v="1"/>
    <s v="UPI"/>
    <s v="Money Out"/>
  </r>
  <r>
    <x v="17"/>
    <x v="4"/>
    <s v="Spotify"/>
    <n v="119"/>
    <x v="1"/>
    <s v="UPI"/>
    <s v="Money Out"/>
  </r>
  <r>
    <x v="18"/>
    <x v="5"/>
    <s v="Shoes"/>
    <n v="2500"/>
    <x v="1"/>
    <s v="Card"/>
    <s v="Money Out"/>
  </r>
  <r>
    <x v="19"/>
    <x v="2"/>
    <s v="Uber"/>
    <n v="200"/>
    <x v="1"/>
    <s v="UPI"/>
    <s v="Money Out"/>
  </r>
  <r>
    <x v="20"/>
    <x v="1"/>
    <s v="Groceries"/>
    <n v="1000"/>
    <x v="1"/>
    <s v="Card"/>
    <s v="Money Out"/>
  </r>
  <r>
    <x v="21"/>
    <x v="0"/>
    <s v="Part-time"/>
    <n v="4000"/>
    <x v="0"/>
    <s v="Bank"/>
    <s v="Money In"/>
  </r>
  <r>
    <x v="22"/>
    <x v="3"/>
    <s v="Water"/>
    <n v="300"/>
    <x v="1"/>
    <s v="Cash"/>
    <s v="Money Out"/>
  </r>
  <r>
    <x v="23"/>
    <x v="4"/>
    <s v="Game"/>
    <n v="600"/>
    <x v="1"/>
    <s v="Card"/>
    <s v="Money Out"/>
  </r>
  <r>
    <x v="24"/>
    <x v="1"/>
    <s v="Swiggy"/>
    <n v="260"/>
    <x v="1"/>
    <s v="UPI"/>
    <s v="Money Out"/>
  </r>
  <r>
    <x v="25"/>
    <x v="5"/>
    <s v="Accessories"/>
    <n v="800"/>
    <x v="1"/>
    <s v="Card"/>
    <s v="Money Out"/>
  </r>
  <r>
    <x v="26"/>
    <x v="2"/>
    <s v="Metro"/>
    <n v="150"/>
    <x v="1"/>
    <s v="Card"/>
    <s v="Money Out"/>
  </r>
  <r>
    <x v="27"/>
    <x v="1"/>
    <s v="Zomato"/>
    <n v="320"/>
    <x v="1"/>
    <s v="UPI"/>
    <s v="Money Out"/>
  </r>
  <r>
    <x v="28"/>
    <x v="3"/>
    <s v="Gas"/>
    <n v="700"/>
    <x v="1"/>
    <s v="Cash"/>
    <s v="Money Out"/>
  </r>
  <r>
    <x v="29"/>
    <x v="4"/>
    <s v="Movie"/>
    <n v="350"/>
    <x v="1"/>
    <s v="Cash"/>
    <s v="Money Out"/>
  </r>
  <r>
    <x v="30"/>
    <x v="1"/>
    <s v="Groceries"/>
    <n v="1300"/>
    <x v="1"/>
    <s v="Card"/>
    <s v="Money Out"/>
  </r>
  <r>
    <x v="31"/>
    <x v="0"/>
    <s v="Internship"/>
    <n v="15000"/>
    <x v="0"/>
    <s v="Bank"/>
    <s v="Money In"/>
  </r>
  <r>
    <x v="32"/>
    <x v="1"/>
    <s v="Swiggy"/>
    <n v="240"/>
    <x v="1"/>
    <s v="UPI"/>
    <s v="Money Out"/>
  </r>
  <r>
    <x v="33"/>
    <x v="2"/>
    <s v="Uber"/>
    <n v="190"/>
    <x v="1"/>
    <s v="UPI"/>
    <s v="Money Out"/>
  </r>
  <r>
    <x v="34"/>
    <x v="3"/>
    <s v="Electricity"/>
    <n v="1100"/>
    <x v="1"/>
    <s v="Bank"/>
    <s v="Money Out"/>
  </r>
  <r>
    <x v="35"/>
    <x v="4"/>
    <s v="Netflix"/>
    <n v="499"/>
    <x v="1"/>
    <s v="UPI"/>
    <s v="Money Out"/>
  </r>
  <r>
    <x v="36"/>
    <x v="5"/>
    <s v="Clothes"/>
    <n v="1800"/>
    <x v="1"/>
    <s v="Card"/>
    <s v="Money Out"/>
  </r>
  <r>
    <x v="37"/>
    <x v="1"/>
    <s v="Zomato"/>
    <n v="310"/>
    <x v="1"/>
    <s v="UPI"/>
    <s v="Money Out"/>
  </r>
  <r>
    <x v="38"/>
    <x v="2"/>
    <s v="Bus"/>
    <n v="60"/>
    <x v="1"/>
    <s v="Cash"/>
    <s v="Money Out"/>
  </r>
  <r>
    <x v="39"/>
    <x v="1"/>
    <s v="Groceries"/>
    <n v="1100"/>
    <x v="1"/>
    <s v="Card"/>
    <s v="Money Out"/>
  </r>
  <r>
    <x v="40"/>
    <x v="0"/>
    <s v="Freelance"/>
    <n v="4500"/>
    <x v="0"/>
    <s v="Bank"/>
    <s v="Money In"/>
  </r>
  <r>
    <x v="41"/>
    <x v="3"/>
    <s v="Internet"/>
    <n v="800"/>
    <x v="1"/>
    <s v="UPI"/>
    <s v="Money Out"/>
  </r>
  <r>
    <x v="42"/>
    <x v="4"/>
    <s v="Movie"/>
    <n v="320"/>
    <x v="1"/>
    <s v="Cash"/>
    <s v="Money Out"/>
  </r>
  <r>
    <x v="43"/>
    <x v="1"/>
    <s v="Swiggy"/>
    <n v="230"/>
    <x v="1"/>
    <s v="UPI"/>
    <s v="Money Ou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6E8893-F1A8-42E5-99A6-475256BBE3D5}"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0" firstHeaderRow="1" firstDataRow="1" firstDataCol="1"/>
  <pivotFields count="9">
    <pivotField numFmtId="16"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axis="axisRow" showAll="0">
      <items count="7">
        <item x="3"/>
        <item x="4"/>
        <item x="1"/>
        <item x="0"/>
        <item x="5"/>
        <item x="2"/>
        <item t="default"/>
      </items>
    </pivotField>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Amount" fld="3" baseField="0" baseItem="0"/>
  </dataFields>
  <chartFormats count="7">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 count="1" selected="0">
            <x v="0"/>
          </reference>
        </references>
      </pivotArea>
    </chartFormat>
    <chartFormat chart="13" format="3">
      <pivotArea type="data" outline="0" fieldPosition="0">
        <references count="2">
          <reference field="4294967294" count="1" selected="0">
            <x v="0"/>
          </reference>
          <reference field="1" count="1" selected="0">
            <x v="1"/>
          </reference>
        </references>
      </pivotArea>
    </chartFormat>
    <chartFormat chart="13" format="4">
      <pivotArea type="data" outline="0" fieldPosition="0">
        <references count="2">
          <reference field="4294967294" count="1" selected="0">
            <x v="0"/>
          </reference>
          <reference field="1" count="1" selected="0">
            <x v="2"/>
          </reference>
        </references>
      </pivotArea>
    </chartFormat>
    <chartFormat chart="13" format="5">
      <pivotArea type="data" outline="0" fieldPosition="0">
        <references count="2">
          <reference field="4294967294" count="1" selected="0">
            <x v="0"/>
          </reference>
          <reference field="1" count="1" selected="0">
            <x v="3"/>
          </reference>
        </references>
      </pivotArea>
    </chartFormat>
    <chartFormat chart="13" format="6">
      <pivotArea type="data" outline="0" fieldPosition="0">
        <references count="2">
          <reference field="4294967294" count="1" selected="0">
            <x v="0"/>
          </reference>
          <reference field="1" count="1" selected="0">
            <x v="4"/>
          </reference>
        </references>
      </pivotArea>
    </chartFormat>
    <chartFormat chart="13" format="7">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230E6C-0CD5-48EC-8C19-ECD7D4C25770}"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9">
    <pivotField numFmtId="16"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showAll="0">
      <items count="7">
        <item x="3"/>
        <item x="4"/>
        <item x="1"/>
        <item x="0"/>
        <item x="5"/>
        <item x="2"/>
        <item t="default"/>
      </items>
    </pivotField>
    <pivotField showAll="0"/>
    <pivotField dataField="1" showAll="0"/>
    <pivotField axis="axisRow" showAll="0">
      <items count="3">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D3993E-4445-48C0-8B13-BC6A432E292C}"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D7" firstHeaderRow="1" firstDataRow="2" firstDataCol="1"/>
  <pivotFields count="9">
    <pivotField axis="axisRow" numFmtId="16" showAll="0" measureFilter="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showAll="0">
      <items count="7">
        <item x="3"/>
        <item x="4"/>
        <item x="1"/>
        <item x="0"/>
        <item x="5"/>
        <item x="2"/>
        <item t="default"/>
      </items>
    </pivotField>
    <pivotField showAll="0"/>
    <pivotField dataField="1" showAll="0"/>
    <pivotField axis="axisCol" showAll="0">
      <items count="3">
        <item x="1"/>
        <item x="0"/>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8"/>
    <field x="7"/>
    <field x="0"/>
  </rowFields>
  <rowItems count="3">
    <i>
      <x v="1"/>
    </i>
    <i>
      <x v="2"/>
    </i>
    <i t="grand">
      <x/>
    </i>
  </rowItems>
  <colFields count="1">
    <field x="4"/>
  </colFields>
  <colItems count="3">
    <i>
      <x/>
    </i>
    <i>
      <x v="1"/>
    </i>
    <i t="grand">
      <x/>
    </i>
  </colItems>
  <dataFields count="1">
    <dataField name="Sum of Amount" fld="3" baseField="0" baseItem="0"/>
  </dataFields>
  <chartFormats count="2">
    <chartFormat chart="13" format="2" series="1">
      <pivotArea type="data" outline="0" fieldPosition="0">
        <references count="2">
          <reference field="4294967294" count="1" selected="0">
            <x v="0"/>
          </reference>
          <reference field="4" count="1" selected="0">
            <x v="0"/>
          </reference>
        </references>
      </pivotArea>
    </chartFormat>
    <chartFormat chart="13" format="3"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00F6F85-D112-407B-9D4B-9710AF33B1EE}" sourceName="Months (Date)">
  <pivotTables>
    <pivotTable tabId="2" name="PivotTable1"/>
    <pivotTable tabId="3" name="PivotTable2"/>
    <pivotTable tabId="4" name="PivotTable3"/>
  </pivotTables>
  <data>
    <tabular pivotCacheId="626928714">
      <items count="14">
        <i x="1" s="1"/>
        <i x="2" s="1"/>
        <i x="3" s="1" nd="1"/>
        <i x="4" s="1" nd="1"/>
        <i x="5" s="1" nd="1"/>
        <i x="6" s="1" nd="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8C1E2D-DD86-45AC-BCB6-77E1AA7C452A}" sourceName="Category">
  <pivotTables>
    <pivotTable tabId="2" name="PivotTable1"/>
    <pivotTable tabId="3" name="PivotTable2"/>
    <pivotTable tabId="4" name="PivotTable3"/>
  </pivotTables>
  <data>
    <tabular pivotCacheId="626928714">
      <items count="6">
        <i x="3" s="1"/>
        <i x="4" s="1"/>
        <i x="1" s="1"/>
        <i x="0"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B655CC54-5176-486B-99A0-9C7B63F9A94B}" cache="Slicer_Months__Date" caption="Months (Date)" columnCount="2" rowHeight="1188000"/>
  <slicer name="Category 1" xr10:uid="{76485937-7C22-4C20-9936-811D9FD8F5FB}" cache="Slicer_Category" caption="Category" columnCount="3" style="SlicerStyleDark6" rowHeight="61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448B91-F0E9-42FE-82FA-FA18324D469F}" name="Table1" displayName="Table1" ref="A1:G45" totalsRowShown="0">
  <autoFilter ref="A1:G45" xr:uid="{F9448B91-F0E9-42FE-82FA-FA18324D469F}"/>
  <tableColumns count="7">
    <tableColumn id="1" xr3:uid="{BA4C6010-24BD-47AF-8169-109F12975026}" name="Date" dataDxfId="1"/>
    <tableColumn id="2" xr3:uid="{0FBC5155-2615-4328-81FA-8C101DBAFE20}" name="Category"/>
    <tableColumn id="3" xr3:uid="{E3605E50-8703-406A-9628-DBFBC681F5E5}" name="Sub-Category"/>
    <tableColumn id="4" xr3:uid="{36BCB58E-8578-437F-81A6-3C397DF157DB}" name="Amount"/>
    <tableColumn id="5" xr3:uid="{A99A295C-0AB0-4E4B-85E2-008A7E268FFA}" name="Type"/>
    <tableColumn id="6" xr3:uid="{7E21C97E-7FA5-4C8F-9510-8F7990A00A1E}" name="Payment Mode"/>
    <tableColumn id="8" xr3:uid="{4A041652-1D0D-4C0E-8BDC-A7CF5502DE2F}" name="Flow" dataDxfId="0">
      <calculatedColumnFormula>IF(E2="Income","Money In","Money Out")</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5"/>
  <sheetViews>
    <sheetView tabSelected="1" workbookViewId="0">
      <selection activeCell="H11" sqref="H11"/>
    </sheetView>
  </sheetViews>
  <sheetFormatPr defaultRowHeight="14.4" x14ac:dyDescent="0.3"/>
  <cols>
    <col min="1" max="1" width="19.88671875" customWidth="1"/>
    <col min="2" max="2" width="22.77734375" customWidth="1"/>
    <col min="3" max="3" width="21.33203125" customWidth="1"/>
    <col min="4" max="4" width="18.5546875" customWidth="1"/>
    <col min="5" max="5" width="22.109375" customWidth="1"/>
    <col min="6" max="6" width="15.88671875" customWidth="1"/>
    <col min="7" max="7" width="18" customWidth="1"/>
  </cols>
  <sheetData>
    <row r="1" spans="1:7" x14ac:dyDescent="0.3">
      <c r="A1" s="1" t="s">
        <v>0</v>
      </c>
      <c r="B1" t="s">
        <v>1</v>
      </c>
      <c r="C1" t="s">
        <v>2</v>
      </c>
      <c r="D1" t="s">
        <v>3</v>
      </c>
      <c r="E1" t="s">
        <v>4</v>
      </c>
      <c r="F1" t="s">
        <v>5</v>
      </c>
      <c r="G1" t="s">
        <v>40</v>
      </c>
    </row>
    <row r="2" spans="1:7" x14ac:dyDescent="0.3">
      <c r="A2" s="2">
        <v>46023</v>
      </c>
      <c r="B2" t="s">
        <v>6</v>
      </c>
      <c r="C2" t="s">
        <v>7</v>
      </c>
      <c r="D2">
        <v>15000</v>
      </c>
      <c r="E2" t="s">
        <v>6</v>
      </c>
      <c r="F2" t="s">
        <v>8</v>
      </c>
      <c r="G2" t="str">
        <f t="shared" ref="G2:G45" si="0">IF(E2="Income","Money In","Money Out")</f>
        <v>Money In</v>
      </c>
    </row>
    <row r="3" spans="1:7" x14ac:dyDescent="0.3">
      <c r="A3" s="3">
        <v>46024</v>
      </c>
      <c r="B3" t="s">
        <v>9</v>
      </c>
      <c r="C3" t="s">
        <v>10</v>
      </c>
      <c r="D3">
        <v>250</v>
      </c>
      <c r="E3" t="s">
        <v>11</v>
      </c>
      <c r="F3" t="s">
        <v>12</v>
      </c>
      <c r="G3" t="str">
        <f t="shared" si="0"/>
        <v>Money Out</v>
      </c>
    </row>
    <row r="4" spans="1:7" x14ac:dyDescent="0.3">
      <c r="A4" s="3">
        <v>46025</v>
      </c>
      <c r="B4" t="s">
        <v>13</v>
      </c>
      <c r="C4" t="s">
        <v>14</v>
      </c>
      <c r="D4">
        <v>180</v>
      </c>
      <c r="E4" t="s">
        <v>11</v>
      </c>
      <c r="F4" t="s">
        <v>15</v>
      </c>
      <c r="G4" t="str">
        <f t="shared" si="0"/>
        <v>Money Out</v>
      </c>
    </row>
    <row r="5" spans="1:7" x14ac:dyDescent="0.3">
      <c r="A5" s="3">
        <v>46026</v>
      </c>
      <c r="B5" t="s">
        <v>16</v>
      </c>
      <c r="C5" t="s">
        <v>17</v>
      </c>
      <c r="D5">
        <v>1200</v>
      </c>
      <c r="E5" t="s">
        <v>11</v>
      </c>
      <c r="F5" t="s">
        <v>8</v>
      </c>
      <c r="G5" t="str">
        <f t="shared" si="0"/>
        <v>Money Out</v>
      </c>
    </row>
    <row r="6" spans="1:7" x14ac:dyDescent="0.3">
      <c r="A6" s="3">
        <v>46027</v>
      </c>
      <c r="B6" t="s">
        <v>18</v>
      </c>
      <c r="C6" t="s">
        <v>19</v>
      </c>
      <c r="D6">
        <v>499</v>
      </c>
      <c r="E6" t="s">
        <v>11</v>
      </c>
      <c r="F6" t="s">
        <v>12</v>
      </c>
      <c r="G6" t="str">
        <f t="shared" si="0"/>
        <v>Money Out</v>
      </c>
    </row>
    <row r="7" spans="1:7" x14ac:dyDescent="0.3">
      <c r="A7" s="3">
        <v>46028</v>
      </c>
      <c r="B7" t="s">
        <v>20</v>
      </c>
      <c r="C7" t="s">
        <v>21</v>
      </c>
      <c r="D7">
        <v>2000</v>
      </c>
      <c r="E7" t="s">
        <v>11</v>
      </c>
      <c r="F7" t="s">
        <v>22</v>
      </c>
      <c r="G7" t="str">
        <f t="shared" si="0"/>
        <v>Money Out</v>
      </c>
    </row>
    <row r="8" spans="1:7" x14ac:dyDescent="0.3">
      <c r="A8" s="3">
        <v>46029</v>
      </c>
      <c r="B8" t="s">
        <v>9</v>
      </c>
      <c r="C8" t="s">
        <v>23</v>
      </c>
      <c r="D8">
        <v>300</v>
      </c>
      <c r="E8" t="s">
        <v>11</v>
      </c>
      <c r="F8" t="s">
        <v>12</v>
      </c>
      <c r="G8" t="str">
        <f t="shared" si="0"/>
        <v>Money Out</v>
      </c>
    </row>
    <row r="9" spans="1:7" x14ac:dyDescent="0.3">
      <c r="A9" s="3">
        <v>46030</v>
      </c>
      <c r="B9" t="s">
        <v>13</v>
      </c>
      <c r="C9" t="s">
        <v>24</v>
      </c>
      <c r="D9">
        <v>50</v>
      </c>
      <c r="E9" t="s">
        <v>11</v>
      </c>
      <c r="F9" t="s">
        <v>15</v>
      </c>
      <c r="G9" t="str">
        <f t="shared" si="0"/>
        <v>Money Out</v>
      </c>
    </row>
    <row r="10" spans="1:7" x14ac:dyDescent="0.3">
      <c r="A10" s="3">
        <v>46031</v>
      </c>
      <c r="B10" t="s">
        <v>9</v>
      </c>
      <c r="C10" t="s">
        <v>25</v>
      </c>
      <c r="D10">
        <v>1200</v>
      </c>
      <c r="E10" t="s">
        <v>11</v>
      </c>
      <c r="F10" t="s">
        <v>22</v>
      </c>
      <c r="G10" t="str">
        <f t="shared" si="0"/>
        <v>Money Out</v>
      </c>
    </row>
    <row r="11" spans="1:7" x14ac:dyDescent="0.3">
      <c r="A11" s="3">
        <v>46032</v>
      </c>
      <c r="B11" t="s">
        <v>6</v>
      </c>
      <c r="C11" t="s">
        <v>26</v>
      </c>
      <c r="D11">
        <v>5000</v>
      </c>
      <c r="E11" t="s">
        <v>6</v>
      </c>
      <c r="F11" t="s">
        <v>8</v>
      </c>
      <c r="G11" t="str">
        <f t="shared" si="0"/>
        <v>Money In</v>
      </c>
    </row>
    <row r="12" spans="1:7" x14ac:dyDescent="0.3">
      <c r="A12" s="3">
        <v>46033</v>
      </c>
      <c r="B12" t="s">
        <v>16</v>
      </c>
      <c r="C12" t="s">
        <v>27</v>
      </c>
      <c r="D12">
        <v>800</v>
      </c>
      <c r="E12" t="s">
        <v>11</v>
      </c>
      <c r="F12" t="s">
        <v>12</v>
      </c>
      <c r="G12" t="str">
        <f t="shared" si="0"/>
        <v>Money Out</v>
      </c>
    </row>
    <row r="13" spans="1:7" x14ac:dyDescent="0.3">
      <c r="A13" s="3">
        <v>46034</v>
      </c>
      <c r="B13" t="s">
        <v>18</v>
      </c>
      <c r="C13" t="s">
        <v>28</v>
      </c>
      <c r="D13">
        <v>300</v>
      </c>
      <c r="E13" t="s">
        <v>11</v>
      </c>
      <c r="F13" t="s">
        <v>15</v>
      </c>
      <c r="G13" t="str">
        <f t="shared" si="0"/>
        <v>Money Out</v>
      </c>
    </row>
    <row r="14" spans="1:7" x14ac:dyDescent="0.3">
      <c r="A14" s="3">
        <v>46035</v>
      </c>
      <c r="B14" t="s">
        <v>9</v>
      </c>
      <c r="C14" t="s">
        <v>10</v>
      </c>
      <c r="D14">
        <v>220</v>
      </c>
      <c r="E14" t="s">
        <v>11</v>
      </c>
      <c r="F14" t="s">
        <v>12</v>
      </c>
      <c r="G14" t="str">
        <f t="shared" si="0"/>
        <v>Money Out</v>
      </c>
    </row>
    <row r="15" spans="1:7" x14ac:dyDescent="0.3">
      <c r="A15" s="3">
        <v>46036</v>
      </c>
      <c r="B15" t="s">
        <v>20</v>
      </c>
      <c r="C15" t="s">
        <v>29</v>
      </c>
      <c r="D15">
        <v>1500</v>
      </c>
      <c r="E15" t="s">
        <v>11</v>
      </c>
      <c r="F15" t="s">
        <v>22</v>
      </c>
      <c r="G15" t="str">
        <f t="shared" si="0"/>
        <v>Money Out</v>
      </c>
    </row>
    <row r="16" spans="1:7" x14ac:dyDescent="0.3">
      <c r="A16" s="3">
        <v>46037</v>
      </c>
      <c r="B16" t="s">
        <v>13</v>
      </c>
      <c r="C16" t="s">
        <v>30</v>
      </c>
      <c r="D16">
        <v>100</v>
      </c>
      <c r="E16" t="s">
        <v>11</v>
      </c>
      <c r="F16" t="s">
        <v>15</v>
      </c>
      <c r="G16" t="str">
        <f t="shared" si="0"/>
        <v>Money Out</v>
      </c>
    </row>
    <row r="17" spans="1:7" x14ac:dyDescent="0.3">
      <c r="A17" s="3">
        <v>46038</v>
      </c>
      <c r="B17" t="s">
        <v>9</v>
      </c>
      <c r="C17" t="s">
        <v>23</v>
      </c>
      <c r="D17">
        <v>270</v>
      </c>
      <c r="E17" t="s">
        <v>11</v>
      </c>
      <c r="F17" t="s">
        <v>12</v>
      </c>
      <c r="G17" t="str">
        <f t="shared" si="0"/>
        <v>Money Out</v>
      </c>
    </row>
    <row r="18" spans="1:7" x14ac:dyDescent="0.3">
      <c r="A18" s="3">
        <v>46039</v>
      </c>
      <c r="B18" t="s">
        <v>16</v>
      </c>
      <c r="C18" t="s">
        <v>31</v>
      </c>
      <c r="D18">
        <v>399</v>
      </c>
      <c r="E18" t="s">
        <v>11</v>
      </c>
      <c r="F18" t="s">
        <v>12</v>
      </c>
      <c r="G18" t="str">
        <f t="shared" si="0"/>
        <v>Money Out</v>
      </c>
    </row>
    <row r="19" spans="1:7" x14ac:dyDescent="0.3">
      <c r="A19" s="3">
        <v>46040</v>
      </c>
      <c r="B19" t="s">
        <v>18</v>
      </c>
      <c r="C19" t="s">
        <v>32</v>
      </c>
      <c r="D19">
        <v>119</v>
      </c>
      <c r="E19" t="s">
        <v>11</v>
      </c>
      <c r="F19" t="s">
        <v>12</v>
      </c>
      <c r="G19" t="str">
        <f t="shared" si="0"/>
        <v>Money Out</v>
      </c>
    </row>
    <row r="20" spans="1:7" x14ac:dyDescent="0.3">
      <c r="A20" s="3">
        <v>46041</v>
      </c>
      <c r="B20" t="s">
        <v>20</v>
      </c>
      <c r="C20" t="s">
        <v>33</v>
      </c>
      <c r="D20">
        <v>2500</v>
      </c>
      <c r="E20" t="s">
        <v>11</v>
      </c>
      <c r="F20" t="s">
        <v>22</v>
      </c>
      <c r="G20" t="str">
        <f t="shared" si="0"/>
        <v>Money Out</v>
      </c>
    </row>
    <row r="21" spans="1:7" x14ac:dyDescent="0.3">
      <c r="A21" s="3">
        <v>46042</v>
      </c>
      <c r="B21" t="s">
        <v>13</v>
      </c>
      <c r="C21" t="s">
        <v>14</v>
      </c>
      <c r="D21">
        <v>200</v>
      </c>
      <c r="E21" t="s">
        <v>11</v>
      </c>
      <c r="F21" t="s">
        <v>12</v>
      </c>
      <c r="G21" t="str">
        <f t="shared" si="0"/>
        <v>Money Out</v>
      </c>
    </row>
    <row r="22" spans="1:7" x14ac:dyDescent="0.3">
      <c r="A22" s="3">
        <v>46043</v>
      </c>
      <c r="B22" t="s">
        <v>9</v>
      </c>
      <c r="C22" t="s">
        <v>25</v>
      </c>
      <c r="D22">
        <v>1000</v>
      </c>
      <c r="E22" t="s">
        <v>11</v>
      </c>
      <c r="F22" t="s">
        <v>22</v>
      </c>
      <c r="G22" t="str">
        <f t="shared" si="0"/>
        <v>Money Out</v>
      </c>
    </row>
    <row r="23" spans="1:7" x14ac:dyDescent="0.3">
      <c r="A23" s="3">
        <v>46044</v>
      </c>
      <c r="B23" t="s">
        <v>6</v>
      </c>
      <c r="C23" t="s">
        <v>34</v>
      </c>
      <c r="D23">
        <v>4000</v>
      </c>
      <c r="E23" t="s">
        <v>6</v>
      </c>
      <c r="F23" t="s">
        <v>8</v>
      </c>
      <c r="G23" t="str">
        <f t="shared" si="0"/>
        <v>Money In</v>
      </c>
    </row>
    <row r="24" spans="1:7" x14ac:dyDescent="0.3">
      <c r="A24" s="3">
        <v>46045</v>
      </c>
      <c r="B24" t="s">
        <v>16</v>
      </c>
      <c r="C24" t="s">
        <v>35</v>
      </c>
      <c r="D24">
        <v>300</v>
      </c>
      <c r="E24" t="s">
        <v>11</v>
      </c>
      <c r="F24" t="s">
        <v>15</v>
      </c>
      <c r="G24" t="str">
        <f t="shared" si="0"/>
        <v>Money Out</v>
      </c>
    </row>
    <row r="25" spans="1:7" x14ac:dyDescent="0.3">
      <c r="A25" s="3">
        <v>46046</v>
      </c>
      <c r="B25" t="s">
        <v>18</v>
      </c>
      <c r="C25" t="s">
        <v>36</v>
      </c>
      <c r="D25">
        <v>600</v>
      </c>
      <c r="E25" t="s">
        <v>11</v>
      </c>
      <c r="F25" t="s">
        <v>22</v>
      </c>
      <c r="G25" t="str">
        <f t="shared" si="0"/>
        <v>Money Out</v>
      </c>
    </row>
    <row r="26" spans="1:7" x14ac:dyDescent="0.3">
      <c r="A26" s="3">
        <v>46047</v>
      </c>
      <c r="B26" t="s">
        <v>9</v>
      </c>
      <c r="C26" t="s">
        <v>10</v>
      </c>
      <c r="D26">
        <v>260</v>
      </c>
      <c r="E26" t="s">
        <v>11</v>
      </c>
      <c r="F26" t="s">
        <v>12</v>
      </c>
      <c r="G26" t="str">
        <f t="shared" si="0"/>
        <v>Money Out</v>
      </c>
    </row>
    <row r="27" spans="1:7" x14ac:dyDescent="0.3">
      <c r="A27" s="3">
        <v>46048</v>
      </c>
      <c r="B27" t="s">
        <v>20</v>
      </c>
      <c r="C27" t="s">
        <v>37</v>
      </c>
      <c r="D27">
        <v>800</v>
      </c>
      <c r="E27" t="s">
        <v>11</v>
      </c>
      <c r="F27" t="s">
        <v>22</v>
      </c>
      <c r="G27" t="str">
        <f t="shared" si="0"/>
        <v>Money Out</v>
      </c>
    </row>
    <row r="28" spans="1:7" x14ac:dyDescent="0.3">
      <c r="A28" s="3">
        <v>46049</v>
      </c>
      <c r="B28" t="s">
        <v>13</v>
      </c>
      <c r="C28" t="s">
        <v>38</v>
      </c>
      <c r="D28">
        <v>150</v>
      </c>
      <c r="E28" t="s">
        <v>11</v>
      </c>
      <c r="F28" t="s">
        <v>22</v>
      </c>
      <c r="G28" t="str">
        <f t="shared" si="0"/>
        <v>Money Out</v>
      </c>
    </row>
    <row r="29" spans="1:7" x14ac:dyDescent="0.3">
      <c r="A29" s="3">
        <v>46050</v>
      </c>
      <c r="B29" t="s">
        <v>9</v>
      </c>
      <c r="C29" t="s">
        <v>23</v>
      </c>
      <c r="D29">
        <v>320</v>
      </c>
      <c r="E29" t="s">
        <v>11</v>
      </c>
      <c r="F29" t="s">
        <v>12</v>
      </c>
      <c r="G29" t="str">
        <f t="shared" si="0"/>
        <v>Money Out</v>
      </c>
    </row>
    <row r="30" spans="1:7" x14ac:dyDescent="0.3">
      <c r="A30" s="3">
        <v>46051</v>
      </c>
      <c r="B30" t="s">
        <v>16</v>
      </c>
      <c r="C30" t="s">
        <v>39</v>
      </c>
      <c r="D30">
        <v>700</v>
      </c>
      <c r="E30" t="s">
        <v>11</v>
      </c>
      <c r="F30" t="s">
        <v>15</v>
      </c>
      <c r="G30" t="str">
        <f t="shared" si="0"/>
        <v>Money Out</v>
      </c>
    </row>
    <row r="31" spans="1:7" x14ac:dyDescent="0.3">
      <c r="A31" s="3">
        <v>46052</v>
      </c>
      <c r="B31" t="s">
        <v>18</v>
      </c>
      <c r="C31" t="s">
        <v>28</v>
      </c>
      <c r="D31">
        <v>350</v>
      </c>
      <c r="E31" t="s">
        <v>11</v>
      </c>
      <c r="F31" t="s">
        <v>15</v>
      </c>
      <c r="G31" t="str">
        <f t="shared" si="0"/>
        <v>Money Out</v>
      </c>
    </row>
    <row r="32" spans="1:7" x14ac:dyDescent="0.3">
      <c r="A32" s="3">
        <v>46053</v>
      </c>
      <c r="B32" t="s">
        <v>9</v>
      </c>
      <c r="C32" t="s">
        <v>25</v>
      </c>
      <c r="D32">
        <v>1300</v>
      </c>
      <c r="E32" t="s">
        <v>11</v>
      </c>
      <c r="F32" t="s">
        <v>22</v>
      </c>
      <c r="G32" t="str">
        <f t="shared" si="0"/>
        <v>Money Out</v>
      </c>
    </row>
    <row r="33" spans="1:7" x14ac:dyDescent="0.3">
      <c r="A33" s="3">
        <v>46054</v>
      </c>
      <c r="B33" t="s">
        <v>6</v>
      </c>
      <c r="C33" t="s">
        <v>7</v>
      </c>
      <c r="D33">
        <v>15000</v>
      </c>
      <c r="E33" t="s">
        <v>6</v>
      </c>
      <c r="F33" t="s">
        <v>8</v>
      </c>
      <c r="G33" t="str">
        <f t="shared" si="0"/>
        <v>Money In</v>
      </c>
    </row>
    <row r="34" spans="1:7" x14ac:dyDescent="0.3">
      <c r="A34" s="3">
        <v>46055</v>
      </c>
      <c r="B34" t="s">
        <v>9</v>
      </c>
      <c r="C34" t="s">
        <v>10</v>
      </c>
      <c r="D34">
        <v>240</v>
      </c>
      <c r="E34" t="s">
        <v>11</v>
      </c>
      <c r="F34" t="s">
        <v>12</v>
      </c>
      <c r="G34" t="str">
        <f t="shared" si="0"/>
        <v>Money Out</v>
      </c>
    </row>
    <row r="35" spans="1:7" x14ac:dyDescent="0.3">
      <c r="A35" s="3">
        <v>46056</v>
      </c>
      <c r="B35" t="s">
        <v>13</v>
      </c>
      <c r="C35" t="s">
        <v>14</v>
      </c>
      <c r="D35">
        <v>190</v>
      </c>
      <c r="E35" t="s">
        <v>11</v>
      </c>
      <c r="F35" t="s">
        <v>12</v>
      </c>
      <c r="G35" t="str">
        <f t="shared" si="0"/>
        <v>Money Out</v>
      </c>
    </row>
    <row r="36" spans="1:7" x14ac:dyDescent="0.3">
      <c r="A36" s="3">
        <v>46057</v>
      </c>
      <c r="B36" t="s">
        <v>16</v>
      </c>
      <c r="C36" t="s">
        <v>17</v>
      </c>
      <c r="D36">
        <v>1100</v>
      </c>
      <c r="E36" t="s">
        <v>11</v>
      </c>
      <c r="F36" t="s">
        <v>8</v>
      </c>
      <c r="G36" t="str">
        <f t="shared" si="0"/>
        <v>Money Out</v>
      </c>
    </row>
    <row r="37" spans="1:7" x14ac:dyDescent="0.3">
      <c r="A37" s="3">
        <v>46058</v>
      </c>
      <c r="B37" t="s">
        <v>18</v>
      </c>
      <c r="C37" t="s">
        <v>19</v>
      </c>
      <c r="D37">
        <v>499</v>
      </c>
      <c r="E37" t="s">
        <v>11</v>
      </c>
      <c r="F37" t="s">
        <v>12</v>
      </c>
      <c r="G37" t="str">
        <f t="shared" si="0"/>
        <v>Money Out</v>
      </c>
    </row>
    <row r="38" spans="1:7" x14ac:dyDescent="0.3">
      <c r="A38" s="3">
        <v>46059</v>
      </c>
      <c r="B38" t="s">
        <v>20</v>
      </c>
      <c r="C38" t="s">
        <v>21</v>
      </c>
      <c r="D38">
        <v>1800</v>
      </c>
      <c r="E38" t="s">
        <v>11</v>
      </c>
      <c r="F38" t="s">
        <v>22</v>
      </c>
      <c r="G38" t="str">
        <f t="shared" si="0"/>
        <v>Money Out</v>
      </c>
    </row>
    <row r="39" spans="1:7" x14ac:dyDescent="0.3">
      <c r="A39" s="3">
        <v>46060</v>
      </c>
      <c r="B39" t="s">
        <v>9</v>
      </c>
      <c r="C39" t="s">
        <v>23</v>
      </c>
      <c r="D39">
        <v>310</v>
      </c>
      <c r="E39" t="s">
        <v>11</v>
      </c>
      <c r="F39" t="s">
        <v>12</v>
      </c>
      <c r="G39" t="str">
        <f t="shared" si="0"/>
        <v>Money Out</v>
      </c>
    </row>
    <row r="40" spans="1:7" x14ac:dyDescent="0.3">
      <c r="A40" s="3">
        <v>46061</v>
      </c>
      <c r="B40" t="s">
        <v>13</v>
      </c>
      <c r="C40" t="s">
        <v>24</v>
      </c>
      <c r="D40">
        <v>60</v>
      </c>
      <c r="E40" t="s">
        <v>11</v>
      </c>
      <c r="F40" t="s">
        <v>15</v>
      </c>
      <c r="G40" t="str">
        <f t="shared" si="0"/>
        <v>Money Out</v>
      </c>
    </row>
    <row r="41" spans="1:7" x14ac:dyDescent="0.3">
      <c r="A41" s="3">
        <v>46062</v>
      </c>
      <c r="B41" t="s">
        <v>9</v>
      </c>
      <c r="C41" t="s">
        <v>25</v>
      </c>
      <c r="D41">
        <v>1100</v>
      </c>
      <c r="E41" t="s">
        <v>11</v>
      </c>
      <c r="F41" t="s">
        <v>22</v>
      </c>
      <c r="G41" t="str">
        <f t="shared" si="0"/>
        <v>Money Out</v>
      </c>
    </row>
    <row r="42" spans="1:7" x14ac:dyDescent="0.3">
      <c r="A42" s="3">
        <v>46063</v>
      </c>
      <c r="B42" t="s">
        <v>6</v>
      </c>
      <c r="C42" t="s">
        <v>26</v>
      </c>
      <c r="D42">
        <v>4500</v>
      </c>
      <c r="E42" t="s">
        <v>6</v>
      </c>
      <c r="F42" t="s">
        <v>8</v>
      </c>
      <c r="G42" t="str">
        <f t="shared" si="0"/>
        <v>Money In</v>
      </c>
    </row>
    <row r="43" spans="1:7" x14ac:dyDescent="0.3">
      <c r="A43" s="3">
        <v>46064</v>
      </c>
      <c r="B43" t="s">
        <v>16</v>
      </c>
      <c r="C43" t="s">
        <v>27</v>
      </c>
      <c r="D43">
        <v>800</v>
      </c>
      <c r="E43" t="s">
        <v>11</v>
      </c>
      <c r="F43" t="s">
        <v>12</v>
      </c>
      <c r="G43" t="str">
        <f t="shared" si="0"/>
        <v>Money Out</v>
      </c>
    </row>
    <row r="44" spans="1:7" x14ac:dyDescent="0.3">
      <c r="A44" s="3">
        <v>46065</v>
      </c>
      <c r="B44" t="s">
        <v>18</v>
      </c>
      <c r="C44" t="s">
        <v>28</v>
      </c>
      <c r="D44">
        <v>320</v>
      </c>
      <c r="E44" t="s">
        <v>11</v>
      </c>
      <c r="F44" t="s">
        <v>15</v>
      </c>
      <c r="G44" t="str">
        <f t="shared" si="0"/>
        <v>Money Out</v>
      </c>
    </row>
    <row r="45" spans="1:7" x14ac:dyDescent="0.3">
      <c r="A45" s="3">
        <v>46066</v>
      </c>
      <c r="B45" t="s">
        <v>9</v>
      </c>
      <c r="C45" t="s">
        <v>10</v>
      </c>
      <c r="D45">
        <v>230</v>
      </c>
      <c r="E45" t="s">
        <v>11</v>
      </c>
      <c r="F45" t="s">
        <v>12</v>
      </c>
      <c r="G45" t="str">
        <f t="shared" si="0"/>
        <v>Money Out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AA136-8966-45CA-AFE3-E55B391668A0}">
  <dimension ref="A3:B10"/>
  <sheetViews>
    <sheetView workbookViewId="0">
      <selection activeCell="G31" sqref="G31"/>
    </sheetView>
  </sheetViews>
  <sheetFormatPr defaultRowHeight="14.4" x14ac:dyDescent="0.3"/>
  <cols>
    <col min="1" max="1" width="12.6640625" bestFit="1" customWidth="1"/>
    <col min="2" max="2" width="14.44140625" bestFit="1" customWidth="1"/>
  </cols>
  <sheetData>
    <row r="3" spans="1:2" x14ac:dyDescent="0.3">
      <c r="A3" s="4" t="s">
        <v>41</v>
      </c>
      <c r="B3" t="s">
        <v>43</v>
      </c>
    </row>
    <row r="4" spans="1:2" x14ac:dyDescent="0.3">
      <c r="A4" s="1" t="s">
        <v>16</v>
      </c>
      <c r="B4" s="5">
        <v>5299</v>
      </c>
    </row>
    <row r="5" spans="1:2" x14ac:dyDescent="0.3">
      <c r="A5" s="1" t="s">
        <v>18</v>
      </c>
      <c r="B5" s="5">
        <v>2687</v>
      </c>
    </row>
    <row r="6" spans="1:2" x14ac:dyDescent="0.3">
      <c r="A6" s="1" t="s">
        <v>9</v>
      </c>
      <c r="B6" s="5">
        <v>7000</v>
      </c>
    </row>
    <row r="7" spans="1:2" x14ac:dyDescent="0.3">
      <c r="A7" s="1" t="s">
        <v>6</v>
      </c>
      <c r="B7" s="5">
        <v>43500</v>
      </c>
    </row>
    <row r="8" spans="1:2" x14ac:dyDescent="0.3">
      <c r="A8" s="1" t="s">
        <v>20</v>
      </c>
      <c r="B8" s="5">
        <v>8600</v>
      </c>
    </row>
    <row r="9" spans="1:2" x14ac:dyDescent="0.3">
      <c r="A9" s="1" t="s">
        <v>13</v>
      </c>
      <c r="B9" s="5">
        <v>930</v>
      </c>
    </row>
    <row r="10" spans="1:2" x14ac:dyDescent="0.3">
      <c r="A10" s="1" t="s">
        <v>42</v>
      </c>
      <c r="B10" s="5">
        <v>68016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7C936-D7F4-4D63-8187-1D66377F8BC9}">
  <dimension ref="A3:B6"/>
  <sheetViews>
    <sheetView workbookViewId="0">
      <selection activeCell="H11" sqref="H11"/>
    </sheetView>
  </sheetViews>
  <sheetFormatPr defaultRowHeight="14.4" x14ac:dyDescent="0.3"/>
  <cols>
    <col min="1" max="1" width="12.5546875" bestFit="1" customWidth="1"/>
    <col min="2" max="2" width="14.44140625" bestFit="1" customWidth="1"/>
  </cols>
  <sheetData>
    <row r="3" spans="1:2" x14ac:dyDescent="0.3">
      <c r="A3" s="4" t="s">
        <v>41</v>
      </c>
      <c r="B3" t="s">
        <v>43</v>
      </c>
    </row>
    <row r="4" spans="1:2" x14ac:dyDescent="0.3">
      <c r="A4" s="1" t="s">
        <v>11</v>
      </c>
      <c r="B4" s="5">
        <v>24516</v>
      </c>
    </row>
    <row r="5" spans="1:2" x14ac:dyDescent="0.3">
      <c r="A5" s="1" t="s">
        <v>6</v>
      </c>
      <c r="B5" s="5">
        <v>43500</v>
      </c>
    </row>
    <row r="6" spans="1:2" x14ac:dyDescent="0.3">
      <c r="A6" s="1" t="s">
        <v>42</v>
      </c>
      <c r="B6" s="5">
        <v>68016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EE625-60DE-498A-ACD1-B7047B234720}">
  <dimension ref="A3:D7"/>
  <sheetViews>
    <sheetView workbookViewId="0">
      <selection activeCell="F16" sqref="F16"/>
    </sheetView>
  </sheetViews>
  <sheetFormatPr defaultRowHeight="14.4" x14ac:dyDescent="0.3"/>
  <cols>
    <col min="1" max="1" width="14.44140625" bestFit="1" customWidth="1"/>
    <col min="2" max="2" width="15.5546875" bestFit="1" customWidth="1"/>
    <col min="3" max="3" width="7.33203125" bestFit="1" customWidth="1"/>
    <col min="4" max="4" width="10.77734375" bestFit="1" customWidth="1"/>
  </cols>
  <sheetData>
    <row r="3" spans="1:4" x14ac:dyDescent="0.3">
      <c r="A3" s="4" t="s">
        <v>43</v>
      </c>
      <c r="B3" s="4" t="s">
        <v>46</v>
      </c>
    </row>
    <row r="4" spans="1:4" x14ac:dyDescent="0.3">
      <c r="A4" s="4" t="s">
        <v>41</v>
      </c>
      <c r="B4" t="s">
        <v>11</v>
      </c>
      <c r="C4" t="s">
        <v>6</v>
      </c>
      <c r="D4" t="s">
        <v>42</v>
      </c>
    </row>
    <row r="5" spans="1:4" x14ac:dyDescent="0.3">
      <c r="A5" s="1" t="s">
        <v>44</v>
      </c>
      <c r="B5" s="5">
        <v>17867</v>
      </c>
      <c r="C5" s="5">
        <v>24000</v>
      </c>
      <c r="D5" s="5">
        <v>41867</v>
      </c>
    </row>
    <row r="6" spans="1:4" x14ac:dyDescent="0.3">
      <c r="A6" s="1" t="s">
        <v>45</v>
      </c>
      <c r="B6" s="5">
        <v>6649</v>
      </c>
      <c r="C6" s="5">
        <v>19500</v>
      </c>
      <c r="D6" s="5">
        <v>26149</v>
      </c>
    </row>
    <row r="7" spans="1:4" x14ac:dyDescent="0.3">
      <c r="A7" s="1" t="s">
        <v>42</v>
      </c>
      <c r="B7" s="5">
        <v>24516</v>
      </c>
      <c r="C7" s="5">
        <v>43500</v>
      </c>
      <c r="D7" s="5">
        <v>68016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5578A-5192-43CB-AA5E-050017F26830}">
  <dimension ref="E5:AE15"/>
  <sheetViews>
    <sheetView zoomScale="65" workbookViewId="0">
      <selection activeCell="Y30" sqref="Y30"/>
    </sheetView>
  </sheetViews>
  <sheetFormatPr defaultRowHeight="14.4" x14ac:dyDescent="0.3"/>
  <cols>
    <col min="5" max="5" width="17.21875" customWidth="1"/>
    <col min="6" max="6" width="17" customWidth="1"/>
    <col min="18" max="18" width="9.6640625" customWidth="1"/>
    <col min="19" max="19" width="11" customWidth="1"/>
    <col min="22" max="22" width="22.33203125" customWidth="1"/>
  </cols>
  <sheetData>
    <row r="5" spans="5:31" ht="15.6" customHeight="1" x14ac:dyDescent="0.3">
      <c r="E5" s="13" t="s">
        <v>55</v>
      </c>
      <c r="F5" s="14"/>
      <c r="G5" s="14"/>
      <c r="H5" s="14"/>
      <c r="I5" s="14"/>
      <c r="J5" s="14"/>
      <c r="K5" s="14"/>
      <c r="L5" s="14"/>
      <c r="M5" s="14"/>
      <c r="N5" s="14"/>
      <c r="O5" s="14"/>
      <c r="P5" s="14"/>
      <c r="Q5" s="14"/>
      <c r="R5" s="14"/>
      <c r="S5" s="15"/>
    </row>
    <row r="6" spans="5:31" ht="15.6" customHeight="1" x14ac:dyDescent="0.3">
      <c r="E6" s="16"/>
      <c r="F6" s="17"/>
      <c r="G6" s="17"/>
      <c r="H6" s="17"/>
      <c r="I6" s="17"/>
      <c r="J6" s="17"/>
      <c r="K6" s="17"/>
      <c r="L6" s="17"/>
      <c r="M6" s="17"/>
      <c r="N6" s="17"/>
      <c r="O6" s="17"/>
      <c r="P6" s="17"/>
      <c r="Q6" s="17"/>
      <c r="R6" s="17"/>
      <c r="S6" s="18"/>
    </row>
    <row r="7" spans="5:31" x14ac:dyDescent="0.3">
      <c r="E7" s="19"/>
      <c r="F7" s="20"/>
      <c r="G7" s="20"/>
      <c r="H7" s="20"/>
      <c r="I7" s="20"/>
      <c r="J7" s="20"/>
      <c r="K7" s="20"/>
      <c r="L7" s="20"/>
      <c r="M7" s="20"/>
      <c r="N7" s="20"/>
      <c r="O7" s="20"/>
      <c r="P7" s="20"/>
      <c r="Q7" s="20"/>
      <c r="R7" s="20"/>
      <c r="S7" s="21"/>
    </row>
    <row r="8" spans="5:31" ht="19.8" customHeight="1" x14ac:dyDescent="0.35">
      <c r="V8" s="22" t="s">
        <v>54</v>
      </c>
      <c r="W8" s="23">
        <f>GETPIVOTDATA("Amount",PivotTable2!$A$3,"Type","Income")</f>
        <v>43500</v>
      </c>
      <c r="X8" s="24" t="s">
        <v>56</v>
      </c>
      <c r="Y8" s="24"/>
      <c r="Z8" s="24"/>
      <c r="AA8" s="24"/>
      <c r="AB8" s="24"/>
      <c r="AC8" s="24"/>
      <c r="AD8" s="24"/>
      <c r="AE8" s="24"/>
    </row>
    <row r="9" spans="5:31" ht="16.2" customHeight="1" x14ac:dyDescent="0.35">
      <c r="V9" s="22" t="s">
        <v>52</v>
      </c>
      <c r="W9" s="23">
        <f>GETPIVOTDATA("Amount",PivotTable2!$A$3,"Type","Expense")</f>
        <v>24516</v>
      </c>
      <c r="X9" s="24"/>
      <c r="Y9" s="24"/>
      <c r="Z9" s="24"/>
      <c r="AA9" s="24"/>
      <c r="AB9" s="24"/>
      <c r="AC9" s="24"/>
      <c r="AD9" s="24"/>
      <c r="AE9" s="24"/>
    </row>
    <row r="10" spans="5:31" ht="19.2" customHeight="1" x14ac:dyDescent="0.35">
      <c r="V10" s="22" t="s">
        <v>53</v>
      </c>
      <c r="W10" s="23">
        <f>W8-W9</f>
        <v>18984</v>
      </c>
      <c r="X10" s="24"/>
      <c r="Y10" s="24"/>
      <c r="Z10" s="24"/>
      <c r="AA10" s="24"/>
      <c r="AB10" s="24"/>
      <c r="AC10" s="24"/>
      <c r="AD10" s="24"/>
      <c r="AE10" s="24"/>
    </row>
    <row r="11" spans="5:31" x14ac:dyDescent="0.3">
      <c r="V11" s="10" t="s">
        <v>47</v>
      </c>
      <c r="W11" s="11"/>
      <c r="X11" s="11"/>
      <c r="Y11" s="11"/>
      <c r="Z11" s="11"/>
      <c r="AA11" s="11"/>
      <c r="AB11" s="11"/>
      <c r="AC11" s="11"/>
      <c r="AD11" s="11"/>
      <c r="AE11" s="12"/>
    </row>
    <row r="12" spans="5:31" x14ac:dyDescent="0.3">
      <c r="V12" s="7" t="s">
        <v>48</v>
      </c>
      <c r="W12" s="8"/>
      <c r="X12" s="8"/>
      <c r="Y12" s="8"/>
      <c r="Z12" s="8"/>
      <c r="AA12" s="8"/>
      <c r="AB12" s="8"/>
      <c r="AC12" s="8"/>
      <c r="AD12" s="8"/>
      <c r="AE12" s="9"/>
    </row>
    <row r="13" spans="5:31" x14ac:dyDescent="0.3">
      <c r="J13" s="6"/>
      <c r="V13" s="7" t="s">
        <v>49</v>
      </c>
      <c r="W13" s="8"/>
      <c r="X13" s="8"/>
      <c r="Y13" s="8"/>
      <c r="Z13" s="8"/>
      <c r="AA13" s="8"/>
      <c r="AB13" s="8"/>
      <c r="AC13" s="8"/>
      <c r="AD13" s="8"/>
      <c r="AE13" s="9"/>
    </row>
    <row r="14" spans="5:31" x14ac:dyDescent="0.3">
      <c r="V14" s="7" t="s">
        <v>50</v>
      </c>
      <c r="W14" s="8"/>
      <c r="X14" s="8"/>
      <c r="Y14" s="8"/>
      <c r="Z14" s="8"/>
      <c r="AA14" s="8"/>
      <c r="AB14" s="8"/>
      <c r="AC14" s="8"/>
      <c r="AD14" s="8"/>
      <c r="AE14" s="9"/>
    </row>
    <row r="15" spans="5:31" x14ac:dyDescent="0.3">
      <c r="V15" s="7" t="s">
        <v>51</v>
      </c>
      <c r="W15" s="8"/>
      <c r="X15" s="8"/>
      <c r="Y15" s="8"/>
      <c r="Z15" s="8"/>
      <c r="AA15" s="8"/>
      <c r="AB15" s="8"/>
      <c r="AC15" s="8"/>
      <c r="AD15" s="8"/>
      <c r="AE15" s="9"/>
    </row>
  </sheetData>
  <mergeCells count="7">
    <mergeCell ref="E5:S7"/>
    <mergeCell ref="V11:AE11"/>
    <mergeCell ref="V12:AE12"/>
    <mergeCell ref="V13:AE13"/>
    <mergeCell ref="V14:AE14"/>
    <mergeCell ref="V15:AE15"/>
    <mergeCell ref="X8:AE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PivotTable1</vt:lpstr>
      <vt:lpstr>PivotTable2</vt:lpstr>
      <vt:lpstr>PivotTable3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gaytri dharmatti</dc:creator>
  <cp:lastModifiedBy>gaytri dharmatti</cp:lastModifiedBy>
  <dcterms:created xsi:type="dcterms:W3CDTF">2015-06-05T18:17:20Z</dcterms:created>
  <dcterms:modified xsi:type="dcterms:W3CDTF">2026-04-17T11:46:17Z</dcterms:modified>
</cp:coreProperties>
</file>